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Preliminary Analysis\FentonTextile\"/>
    </mc:Choice>
  </mc:AlternateContent>
  <xr:revisionPtr revIDLastSave="0" documentId="13_ncr:1_{07F26F6B-FB72-4661-BBF9-2732948D12B2}" xr6:coauthVersionLast="47" xr6:coauthVersionMax="47" xr10:uidLastSave="{00000000-0000-0000-0000-000000000000}"/>
  <bookViews>
    <workbookView xWindow="0" yWindow="0" windowWidth="20490" windowHeight="10920" activeTab="1" xr2:uid="{C7360597-C278-47EB-9E10-9C30E8FF59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D2" i="2"/>
  <c r="C2" i="2"/>
  <c r="B2" i="2"/>
</calcChain>
</file>

<file path=xl/sharedStrings.xml><?xml version="1.0" encoding="utf-8"?>
<sst xmlns="http://schemas.openxmlformats.org/spreadsheetml/2006/main" count="16" uniqueCount="16">
  <si>
    <t>Parameter</t>
  </si>
  <si>
    <t>Turbidity (NTU)</t>
  </si>
  <si>
    <t>Colour (Pt. Co.)</t>
  </si>
  <si>
    <t>TS (mg/l)</t>
  </si>
  <si>
    <t>TSS (mg/l)</t>
  </si>
  <si>
    <t>TDS (mg/l)</t>
  </si>
  <si>
    <t>COD (mg/l)</t>
  </si>
  <si>
    <t>Chloride (mg/l)</t>
  </si>
  <si>
    <t>Nitrate (mg/l)</t>
  </si>
  <si>
    <t>Sulphate (mg/l)</t>
  </si>
  <si>
    <t xml:space="preserve">Ratio (1:30) </t>
  </si>
  <si>
    <t xml:space="preserve">Ratio (1:10) </t>
  </si>
  <si>
    <t xml:space="preserve">Ratio (1:20) </t>
  </si>
  <si>
    <t>Untreated</t>
  </si>
  <si>
    <t>Amm. N (mg/l)</t>
  </si>
  <si>
    <t>aSOR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</si>
</sst>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BF3-E074-4446-A331-74FAAD971DFA}">
  <dimension ref="A1:E11"/>
  <sheetViews>
    <sheetView workbookViewId="0">
      <selection activeCell="E13" sqref="A13:E13"/>
    </sheetView>
  </sheetViews>
  <sheetFormatPr defaultRowHeight="15" x14ac:dyDescent="0.25"/>
  <cols>
    <col min="1" max="1" width="21.140625" customWidth="1"/>
  </cols>
  <sheetData>
    <row r="1" spans="1:5" ht="30" x14ac:dyDescent="0.25">
      <c r="A1" s="1" t="s">
        <v>0</v>
      </c>
      <c r="B1" s="1" t="s">
        <v>13</v>
      </c>
      <c r="C1" t="s">
        <v>11</v>
      </c>
      <c r="D1" t="s">
        <v>12</v>
      </c>
      <c r="E1" t="s">
        <v>10</v>
      </c>
    </row>
    <row r="2" spans="1:5" x14ac:dyDescent="0.25">
      <c r="A2" t="s">
        <v>1</v>
      </c>
      <c r="B2">
        <v>554</v>
      </c>
      <c r="C2">
        <v>164.42720000000003</v>
      </c>
      <c r="D2">
        <v>159.1088</v>
      </c>
      <c r="E2">
        <v>90.745199999999969</v>
      </c>
    </row>
    <row r="3" spans="1:5" x14ac:dyDescent="0.25">
      <c r="A3" t="s">
        <v>2</v>
      </c>
      <c r="B3">
        <v>3462</v>
      </c>
      <c r="C3">
        <v>934.0476000000001</v>
      </c>
      <c r="D3">
        <v>914.66039999999998</v>
      </c>
      <c r="E3">
        <v>896.31180000000006</v>
      </c>
    </row>
    <row r="4" spans="1:5" x14ac:dyDescent="0.25">
      <c r="A4" t="s">
        <v>3</v>
      </c>
      <c r="B4">
        <v>3042</v>
      </c>
      <c r="C4">
        <v>2872.2564000000002</v>
      </c>
      <c r="D4">
        <v>2782.5174000000002</v>
      </c>
      <c r="E4">
        <v>1841.6267999999998</v>
      </c>
    </row>
    <row r="5" spans="1:5" x14ac:dyDescent="0.25">
      <c r="A5" t="s">
        <v>4</v>
      </c>
      <c r="B5">
        <v>632</v>
      </c>
      <c r="C5">
        <v>279.59680000000003</v>
      </c>
      <c r="D5">
        <v>244.45760000000001</v>
      </c>
      <c r="E5">
        <v>173.86320000000001</v>
      </c>
    </row>
    <row r="6" spans="1:5" x14ac:dyDescent="0.25">
      <c r="A6" t="s">
        <v>5</v>
      </c>
      <c r="B6">
        <v>2410</v>
      </c>
      <c r="C6">
        <v>2281.0650000000001</v>
      </c>
      <c r="D6">
        <v>2210.2110000000002</v>
      </c>
      <c r="E6">
        <v>1462.6289999999999</v>
      </c>
    </row>
    <row r="7" spans="1:5" x14ac:dyDescent="0.25">
      <c r="A7" t="s">
        <v>6</v>
      </c>
      <c r="B7">
        <v>4800</v>
      </c>
      <c r="C7">
        <v>4363.68</v>
      </c>
      <c r="D7">
        <v>3520.8</v>
      </c>
      <c r="E7">
        <v>3265.44</v>
      </c>
    </row>
    <row r="8" spans="1:5" x14ac:dyDescent="0.25">
      <c r="A8" t="s">
        <v>7</v>
      </c>
      <c r="B8">
        <v>299.91000000000003</v>
      </c>
      <c r="C8">
        <v>272.28828900000002</v>
      </c>
      <c r="D8">
        <v>266.76994500000001</v>
      </c>
      <c r="E8">
        <v>237.70866600000002</v>
      </c>
    </row>
    <row r="9" spans="1:5" x14ac:dyDescent="0.25">
      <c r="A9" t="s">
        <v>14</v>
      </c>
      <c r="B9">
        <v>8.44</v>
      </c>
      <c r="C9">
        <v>6.3156519999999992</v>
      </c>
      <c r="D9">
        <v>3.6967199999999991</v>
      </c>
      <c r="E9">
        <v>2.271204</v>
      </c>
    </row>
    <row r="10" spans="1:5" x14ac:dyDescent="0.25">
      <c r="A10" t="s">
        <v>8</v>
      </c>
      <c r="B10">
        <v>101.8</v>
      </c>
      <c r="C10">
        <v>89.431300000000007</v>
      </c>
      <c r="D10">
        <v>69.335980000000006</v>
      </c>
      <c r="E10">
        <v>51.398820000000001</v>
      </c>
    </row>
    <row r="11" spans="1:5" x14ac:dyDescent="0.25">
      <c r="A11" t="s">
        <v>9</v>
      </c>
      <c r="B11">
        <v>295</v>
      </c>
      <c r="C11">
        <v>300.36899999999997</v>
      </c>
      <c r="D11">
        <v>301.66699999999997</v>
      </c>
      <c r="E11">
        <v>301.54899999999998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68A9-546D-417C-8605-6B449E281EC9}">
  <dimension ref="A2:E2"/>
  <sheetViews>
    <sheetView tabSelected="1" workbookViewId="0">
      <selection activeCell="A2" sqref="A2:E2"/>
    </sheetView>
  </sheetViews>
  <sheetFormatPr defaultRowHeight="15" x14ac:dyDescent="0.25"/>
  <sheetData>
    <row r="2" spans="1:5" x14ac:dyDescent="0.25">
      <c r="A2" t="s">
        <v>15</v>
      </c>
      <c r="B2">
        <f>(Sheet1!B8+Sheet1!B9+Sheet1!B10)/Sheet1!B7</f>
        <v>8.5447916666666679E-2</v>
      </c>
      <c r="C2">
        <f>(Sheet1!C8+Sheet1!C9+Sheet1!C10)/Sheet1!C7</f>
        <v>8.4340565990173436E-2</v>
      </c>
      <c r="D2">
        <f>(Sheet1!D8+Sheet1!D9+Sheet1!D10)/Sheet1!D7</f>
        <v>9.6512907577823229E-2</v>
      </c>
      <c r="E2">
        <f>(Sheet1!E8+Sheet1!E9+Sheet1!E10)/Sheet1!E7</f>
        <v>8.9231065338821108E-2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2026-07-01T17:18:15Z</dcterms:created>
  <dcterms:modified xsi:type="dcterms:W3CDTF">2026-07-21T21:01:14Z</dcterms:modified>
</cp:coreProperties>
</file>
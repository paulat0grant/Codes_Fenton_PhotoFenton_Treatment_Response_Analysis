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Preliminary Analysis\PhotoFentonTextile\"/>
    </mc:Choice>
  </mc:AlternateContent>
  <xr:revisionPtr revIDLastSave="0" documentId="13_ncr:1_{56C47325-D400-431F-97D9-F68B1B6393BE}" xr6:coauthVersionLast="47" xr6:coauthVersionMax="47" xr10:uidLastSave="{00000000-0000-0000-0000-000000000000}"/>
  <bookViews>
    <workbookView xWindow="0" yWindow="0" windowWidth="20490" windowHeight="10920" activeTab="1" xr2:uid="{93048753-3F96-47B2-A854-E992C2645D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2" l="1"/>
  <c r="D1" i="2"/>
  <c r="C1" i="2"/>
  <c r="B1" i="2"/>
</calcChain>
</file>

<file path=xl/sharedStrings.xml><?xml version="1.0" encoding="utf-8"?>
<sst xmlns="http://schemas.openxmlformats.org/spreadsheetml/2006/main" count="16" uniqueCount="16">
  <si>
    <t>Parameter</t>
  </si>
  <si>
    <t>Turbidity (NTU)</t>
  </si>
  <si>
    <t>Colour (Pt. Co.)</t>
  </si>
  <si>
    <t>TS (mg/l)</t>
  </si>
  <si>
    <t>TSS (mg/l)</t>
  </si>
  <si>
    <t>TDS (mg/l)</t>
  </si>
  <si>
    <t>COD (mg/l)</t>
  </si>
  <si>
    <t>Chloride (mg/l)</t>
  </si>
  <si>
    <t>Nitrate (mg/l)</t>
  </si>
  <si>
    <t>Sulphate (mg/l)</t>
  </si>
  <si>
    <t xml:space="preserve">Ratio (1:10) </t>
  </si>
  <si>
    <t xml:space="preserve">Ratio (1:20) </t>
  </si>
  <si>
    <t xml:space="preserve">Ratio (1:30) </t>
  </si>
  <si>
    <t>Untreated</t>
  </si>
  <si>
    <t>Amm. N (mg/l)</t>
  </si>
  <si>
    <t>aSOR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</si>
</sst>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9615-CF9A-4625-AD58-43CFF8E35823}">
  <dimension ref="A1:E11"/>
  <sheetViews>
    <sheetView workbookViewId="0">
      <selection activeCell="A13" sqref="A13:E13"/>
    </sheetView>
  </sheetViews>
  <sheetFormatPr defaultRowHeight="15" x14ac:dyDescent="0.25"/>
  <cols>
    <col min="1" max="1" width="21.42578125" customWidth="1"/>
  </cols>
  <sheetData>
    <row r="1" spans="1:5" ht="30" x14ac:dyDescent="0.25">
      <c r="A1" s="1" t="s">
        <v>0</v>
      </c>
      <c r="B1" s="1" t="s">
        <v>13</v>
      </c>
      <c r="C1" t="s">
        <v>10</v>
      </c>
      <c r="D1" t="s">
        <v>11</v>
      </c>
      <c r="E1" t="s">
        <v>12</v>
      </c>
    </row>
    <row r="2" spans="1:5" x14ac:dyDescent="0.25">
      <c r="A2" t="s">
        <v>1</v>
      </c>
      <c r="B2">
        <v>554</v>
      </c>
      <c r="C2">
        <v>373.11899999999997</v>
      </c>
      <c r="D2">
        <v>241.37779999999998</v>
      </c>
      <c r="E2">
        <v>141.27000000000001</v>
      </c>
    </row>
    <row r="3" spans="1:5" x14ac:dyDescent="0.25">
      <c r="A3" t="s">
        <v>2</v>
      </c>
      <c r="B3">
        <v>3462</v>
      </c>
      <c r="C3">
        <v>2462.1744000000003</v>
      </c>
      <c r="D3">
        <v>1981.6488000000002</v>
      </c>
      <c r="E3">
        <v>995.32499999999993</v>
      </c>
    </row>
    <row r="4" spans="1:5" x14ac:dyDescent="0.25">
      <c r="A4" t="s">
        <v>3</v>
      </c>
      <c r="B4">
        <v>3042</v>
      </c>
      <c r="C4">
        <v>1028.5002000000002</v>
      </c>
      <c r="D4">
        <v>896.78160000000014</v>
      </c>
      <c r="E4">
        <v>738.29339999999979</v>
      </c>
    </row>
    <row r="5" spans="1:5" x14ac:dyDescent="0.25">
      <c r="A5" t="s">
        <v>4</v>
      </c>
      <c r="B5">
        <v>632</v>
      </c>
      <c r="C5">
        <v>113.9496</v>
      </c>
      <c r="D5">
        <v>84.245599999999982</v>
      </c>
      <c r="E5">
        <v>46.009599999999985</v>
      </c>
    </row>
    <row r="6" spans="1:5" x14ac:dyDescent="0.25">
      <c r="A6" t="s">
        <v>5</v>
      </c>
      <c r="B6">
        <v>2410</v>
      </c>
      <c r="C6">
        <v>822.5329999999999</v>
      </c>
      <c r="D6">
        <v>718.17999999999984</v>
      </c>
      <c r="E6">
        <v>593.101</v>
      </c>
    </row>
    <row r="7" spans="1:5" x14ac:dyDescent="0.25">
      <c r="A7" t="s">
        <v>6</v>
      </c>
      <c r="B7">
        <v>4800</v>
      </c>
      <c r="C7">
        <v>3727.2</v>
      </c>
      <c r="D7">
        <v>2570.8800000000006</v>
      </c>
      <c r="E7">
        <v>1320.96</v>
      </c>
    </row>
    <row r="8" spans="1:5" x14ac:dyDescent="0.25">
      <c r="A8" t="s">
        <v>7</v>
      </c>
      <c r="B8">
        <v>299.91000000000003</v>
      </c>
      <c r="C8">
        <v>126.502038</v>
      </c>
      <c r="D8">
        <v>115.555323</v>
      </c>
      <c r="E8">
        <v>109.617105</v>
      </c>
    </row>
    <row r="9" spans="1:5" x14ac:dyDescent="0.25">
      <c r="A9" t="s">
        <v>14</v>
      </c>
      <c r="B9">
        <v>8.44</v>
      </c>
      <c r="C9">
        <v>4.416652</v>
      </c>
      <c r="D9">
        <v>2.2475719999999999</v>
      </c>
      <c r="E9">
        <v>2.024756</v>
      </c>
    </row>
    <row r="10" spans="1:5" x14ac:dyDescent="0.25">
      <c r="A10" t="s">
        <v>8</v>
      </c>
      <c r="B10">
        <v>101.8</v>
      </c>
      <c r="C10">
        <v>73.153480000000002</v>
      </c>
      <c r="D10">
        <v>61.619539999999994</v>
      </c>
      <c r="E10">
        <v>32.708339999999993</v>
      </c>
    </row>
    <row r="11" spans="1:5" x14ac:dyDescent="0.25">
      <c r="A11" t="s">
        <v>9</v>
      </c>
      <c r="B11">
        <v>295</v>
      </c>
      <c r="C11">
        <v>296.91749999999996</v>
      </c>
      <c r="D11">
        <v>300.04449999999997</v>
      </c>
      <c r="E11">
        <v>306.77050000000003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8BA2-06DF-48EA-A882-13AB5E8A8B35}">
  <dimension ref="A1:E1"/>
  <sheetViews>
    <sheetView tabSelected="1" workbookViewId="0">
      <selection sqref="A1:E1"/>
    </sheetView>
  </sheetViews>
  <sheetFormatPr defaultRowHeight="15" x14ac:dyDescent="0.25"/>
  <sheetData>
    <row r="1" spans="1:5" x14ac:dyDescent="0.25">
      <c r="A1" t="s">
        <v>15</v>
      </c>
      <c r="B1">
        <f>(Sheet1!B8+Sheet1!B9+Sheet1!B10)/Sheet1!B7</f>
        <v>8.5447916666666679E-2</v>
      </c>
      <c r="C1">
        <f>(Sheet1!C8+Sheet1!C9+Sheet1!C10)/Sheet1!C7</f>
        <v>5.4752138334406529E-2</v>
      </c>
      <c r="D1">
        <f>(Sheet1!D8+Sheet1!D9+Sheet1!D10)/Sheet1!D7</f>
        <v>6.9790279981951697E-2</v>
      </c>
      <c r="E1">
        <f>(Sheet1!E8+Sheet1!E9+Sheet1!E10)/Sheet1!E7</f>
        <v>0.10927673888687013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2026-07-01T17:37:09Z</dcterms:created>
  <dcterms:modified xsi:type="dcterms:W3CDTF">2026-07-21T21:18:24Z</dcterms:modified>
</cp:coreProperties>
</file>
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hmedabad Data\Preliminary Analysis\FentonDye\"/>
    </mc:Choice>
  </mc:AlternateContent>
  <xr:revisionPtr revIDLastSave="0" documentId="13_ncr:1_{F9FD7D43-12EC-4ADD-9478-6649A71163B5}" xr6:coauthVersionLast="47" xr6:coauthVersionMax="47" xr10:uidLastSave="{00000000-0000-0000-0000-000000000000}"/>
  <bookViews>
    <workbookView xWindow="0" yWindow="0" windowWidth="20490" windowHeight="10920" activeTab="1" xr2:uid="{6CD87EE1-9133-4821-A254-78A8B9B08D3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" i="2" l="1"/>
  <c r="D1" i="2"/>
  <c r="C1" i="2"/>
  <c r="B1" i="2"/>
</calcChain>
</file>

<file path=xl/sharedStrings.xml><?xml version="1.0" encoding="utf-8"?>
<sst xmlns="http://schemas.openxmlformats.org/spreadsheetml/2006/main" count="16" uniqueCount="16">
  <si>
    <t>Parameter</t>
  </si>
  <si>
    <t>Turbidity (NTU)</t>
  </si>
  <si>
    <t>Colour (Pt. Co.)</t>
  </si>
  <si>
    <t>TS (mg/l)</t>
  </si>
  <si>
    <t>TSS (mg/l)</t>
  </si>
  <si>
    <t>TDS (mg/l)</t>
  </si>
  <si>
    <t>COD (mg/l)</t>
  </si>
  <si>
    <t>Chloride (mg/l)</t>
  </si>
  <si>
    <t>Nitrate (mg/l)</t>
  </si>
  <si>
    <t>Sulphate (mg/l)</t>
  </si>
  <si>
    <t xml:space="preserve">Ratio (1:10) </t>
  </si>
  <si>
    <t xml:space="preserve">Ratio (1:20) </t>
  </si>
  <si>
    <t xml:space="preserve">Ratio (1:30) </t>
  </si>
  <si>
    <t>Untreated</t>
  </si>
  <si>
    <t>Amm. N (mg/l)</t>
  </si>
  <si>
    <t>aSOR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</si>
</sst>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865F-BFD3-4545-9C99-DFE72953BFAC}">
  <dimension ref="A1:E11"/>
  <sheetViews>
    <sheetView workbookViewId="0">
      <selection activeCell="A13" sqref="A13:E13"/>
    </sheetView>
  </sheetViews>
  <sheetFormatPr defaultRowHeight="15" x14ac:dyDescent="0.25"/>
  <cols>
    <col min="1" max="1" width="23.42578125" customWidth="1"/>
    <col min="2" max="2" width="16.5703125" customWidth="1"/>
  </cols>
  <sheetData>
    <row r="1" spans="1:5" x14ac:dyDescent="0.25">
      <c r="A1" s="1" t="s">
        <v>0</v>
      </c>
      <c r="B1" s="1" t="s">
        <v>13</v>
      </c>
      <c r="C1" t="s">
        <v>10</v>
      </c>
      <c r="D1" t="s">
        <v>11</v>
      </c>
      <c r="E1" t="s">
        <v>12</v>
      </c>
    </row>
    <row r="2" spans="1:5" x14ac:dyDescent="0.25">
      <c r="A2" t="s">
        <v>1</v>
      </c>
      <c r="B2">
        <v>188</v>
      </c>
      <c r="C2">
        <v>2.256000000000002</v>
      </c>
      <c r="D2">
        <v>3.4403999999999968</v>
      </c>
      <c r="E2">
        <v>2.8200000000000025</v>
      </c>
    </row>
    <row r="3" spans="1:5" x14ac:dyDescent="0.25">
      <c r="A3" t="s">
        <v>2</v>
      </c>
      <c r="B3">
        <v>1090</v>
      </c>
      <c r="C3">
        <v>304.65500000000009</v>
      </c>
      <c r="D3">
        <v>301.16699999999997</v>
      </c>
      <c r="E3">
        <v>259.63799999999998</v>
      </c>
    </row>
    <row r="4" spans="1:5" x14ac:dyDescent="0.25">
      <c r="A4" t="s">
        <v>3</v>
      </c>
      <c r="B4">
        <v>3396</v>
      </c>
      <c r="C4">
        <v>3282.9132</v>
      </c>
      <c r="D4">
        <v>1841.3112000000001</v>
      </c>
      <c r="E4">
        <v>1700.7167999999997</v>
      </c>
    </row>
    <row r="5" spans="1:5" x14ac:dyDescent="0.25">
      <c r="A5" t="s">
        <v>4</v>
      </c>
      <c r="B5">
        <v>146</v>
      </c>
      <c r="C5">
        <v>35.901400000000002</v>
      </c>
      <c r="D5">
        <v>13.417399999999997</v>
      </c>
      <c r="E5">
        <v>10.804000000000009</v>
      </c>
    </row>
    <row r="6" spans="1:5" x14ac:dyDescent="0.25">
      <c r="A6" t="s">
        <v>5</v>
      </c>
      <c r="B6">
        <v>3250</v>
      </c>
      <c r="C6">
        <v>3168.4250000000002</v>
      </c>
      <c r="D6">
        <v>1778.7249999999997</v>
      </c>
      <c r="E6">
        <v>1643.5250000000001</v>
      </c>
    </row>
    <row r="7" spans="1:5" x14ac:dyDescent="0.25">
      <c r="A7" t="s">
        <v>6</v>
      </c>
      <c r="B7">
        <v>8800</v>
      </c>
      <c r="C7">
        <v>884.3999999999993</v>
      </c>
      <c r="D7">
        <v>715.43999999999937</v>
      </c>
      <c r="E7">
        <v>185.68000000000006</v>
      </c>
    </row>
    <row r="8" spans="1:5" x14ac:dyDescent="0.25">
      <c r="A8" t="s">
        <v>7</v>
      </c>
      <c r="B8">
        <v>499.85</v>
      </c>
      <c r="C8">
        <v>225.48233499999998</v>
      </c>
      <c r="D8">
        <v>148.50543499999998</v>
      </c>
      <c r="E8">
        <v>124.21272499999998</v>
      </c>
    </row>
    <row r="9" spans="1:5" x14ac:dyDescent="0.25">
      <c r="A9" t="s">
        <v>14</v>
      </c>
      <c r="B9">
        <v>34</v>
      </c>
      <c r="C9">
        <v>9.6186000000000007</v>
      </c>
      <c r="D9">
        <v>6.3239999999999981</v>
      </c>
      <c r="E9">
        <v>4.0595999999999979</v>
      </c>
    </row>
    <row r="10" spans="1:5" x14ac:dyDescent="0.25">
      <c r="A10" t="s">
        <v>8</v>
      </c>
      <c r="B10">
        <v>608.79999999999995</v>
      </c>
      <c r="C10">
        <v>461.40951999999999</v>
      </c>
      <c r="D10">
        <v>399.73807999999997</v>
      </c>
      <c r="E10">
        <v>358.40055999999998</v>
      </c>
    </row>
    <row r="11" spans="1:5" x14ac:dyDescent="0.25">
      <c r="A11" t="s">
        <v>9</v>
      </c>
      <c r="B11">
        <v>608</v>
      </c>
      <c r="C11">
        <v>610.79679999999996</v>
      </c>
      <c r="D11">
        <v>617.48480000000006</v>
      </c>
      <c r="E11">
        <v>625.38879999999995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DE84-24FD-4D4E-B89E-21E43CAD402F}">
  <dimension ref="A1:E1"/>
  <sheetViews>
    <sheetView tabSelected="1" workbookViewId="0">
      <selection sqref="A1:E1"/>
    </sheetView>
  </sheetViews>
  <sheetFormatPr defaultRowHeight="15" x14ac:dyDescent="0.25"/>
  <sheetData>
    <row r="1" spans="1:5" x14ac:dyDescent="0.25">
      <c r="A1" t="s">
        <v>15</v>
      </c>
      <c r="B1">
        <f>(Sheet1!B8+Sheet1!B9+Sheet1!B10)/Sheet1!B7</f>
        <v>0.12984659090909093</v>
      </c>
      <c r="C1">
        <f>(Sheet1!C8+Sheet1!C9+Sheet1!C10)/Sheet1!C7</f>
        <v>0.78755139642695671</v>
      </c>
      <c r="D1">
        <f>(Sheet1!D8+Sheet1!D9+Sheet1!D10)/Sheet1!D7</f>
        <v>0.77514189170300851</v>
      </c>
      <c r="E1">
        <f>(Sheet1!E8+Sheet1!E9+Sheet1!E10)/Sheet1!E7</f>
        <v>2.6210301863420926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USER104</dc:creator>
  <cp:lastModifiedBy>USER104</cp:lastModifiedBy>
  <dcterms:created xsi:type="dcterms:W3CDTF">2026-07-01T18:28:24Z</dcterms:created>
  <dcterms:modified xsi:type="dcterms:W3CDTF">2026-07-21T21:09:19Z</dcterms:modified>
</cp:coreProperties>
</file>
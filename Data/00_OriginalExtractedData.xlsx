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Ahmedabad Data\"/>
    </mc:Choice>
  </mc:AlternateContent>
  <xr:revisionPtr revIDLastSave="0" documentId="13_ncr:1_{64623F88-63CE-492E-99E1-80C6AD41BBF6}" xr6:coauthVersionLast="47" xr6:coauthVersionMax="47" xr10:uidLastSave="{00000000-0000-0000-0000-000000000000}"/>
  <bookViews>
    <workbookView xWindow="-120" yWindow="-120" windowWidth="20730" windowHeight="11160" tabRatio="734" activeTab="4" xr2:uid="{00000000-000D-0000-FFFF-FFFF00000000}"/>
  </bookViews>
  <sheets>
    <sheet name="Raw_Effluent_Data" sheetId="3" r:id="rId1"/>
    <sheet name="Fenton_Textile" sheetId="4" r:id="rId2"/>
    <sheet name="Fenton_DyeIntermediate" sheetId="5" r:id="rId3"/>
    <sheet name="PhotoFenton_Textile" sheetId="6" r:id="rId4"/>
    <sheet name="PhotoFenton_DyeIntermediate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7" l="1"/>
  <c r="F8" i="6"/>
  <c r="F8" i="5"/>
  <c r="F8" i="4"/>
</calcChain>
</file>

<file path=xl/sharedStrings.xml><?xml version="1.0" encoding="utf-8"?>
<sst xmlns="http://schemas.openxmlformats.org/spreadsheetml/2006/main" count="106" uniqueCount="37">
  <si>
    <t>Method</t>
  </si>
  <si>
    <t>pH</t>
  </si>
  <si>
    <t>Potentiometry</t>
  </si>
  <si>
    <t>Nephelometric</t>
  </si>
  <si>
    <t>Platinum-Cobalt</t>
  </si>
  <si>
    <t>Gravimetric</t>
  </si>
  <si>
    <t>Open Reflux</t>
  </si>
  <si>
    <t>Argentometric</t>
  </si>
  <si>
    <t>Kjeldahl</t>
  </si>
  <si>
    <t>Turbidimetric</t>
  </si>
  <si>
    <t>Parameter</t>
  </si>
  <si>
    <t>Unit</t>
  </si>
  <si>
    <t>Textile Effluent</t>
  </si>
  <si>
    <t>Dye Intermediate</t>
  </si>
  <si>
    <t>% Difference (Dye vs Textile)</t>
  </si>
  <si>
    <t>Turbidity</t>
  </si>
  <si>
    <t>Colour</t>
  </si>
  <si>
    <t>Total Solids</t>
  </si>
  <si>
    <t>Total Suspended Solids</t>
  </si>
  <si>
    <t>Total Dissolved Solids</t>
  </si>
  <si>
    <t>Chemical Oxygen Demand</t>
  </si>
  <si>
    <t>Chloride</t>
  </si>
  <si>
    <t>Ammoniacal Nitrogen</t>
  </si>
  <si>
    <t>Nitrate</t>
  </si>
  <si>
    <t>Sulphate</t>
  </si>
  <si>
    <t>NTU</t>
  </si>
  <si>
    <t>Pt. Co.</t>
  </si>
  <si>
    <t>mg/l</t>
  </si>
  <si>
    <t>PDA</t>
  </si>
  <si>
    <t>Ratio (1:10) (in %)</t>
  </si>
  <si>
    <t>Ratio (1:20) (in %)</t>
  </si>
  <si>
    <t>Ratio (1:30) (in %)</t>
  </si>
  <si>
    <t>Best Removal (in %)</t>
  </si>
  <si>
    <t>Improvement 10 to 30</t>
  </si>
  <si>
    <t>Total Dissolved Solid</t>
  </si>
  <si>
    <t>Total Suspended Solid</t>
  </si>
  <si>
    <t>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</si>
</sst>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opLeftCell="B1" workbookViewId="0">
      <selection activeCell="F19" sqref="F19"/>
    </sheetView>
  </sheetViews>
  <sheetFormatPr defaultRowHeight="15" x14ac:dyDescent="0.25"/>
  <cols>
    <col min="1" max="1" width="25.85546875" customWidth="1"/>
    <col min="3" max="3" width="16.85546875" customWidth="1"/>
    <col min="4" max="4" width="11.85546875" customWidth="1"/>
    <col min="5" max="5" width="14.140625" customWidth="1"/>
    <col min="6" max="6" width="15.85546875" customWidth="1"/>
  </cols>
  <sheetData>
    <row r="1" spans="1:6" ht="30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14</v>
      </c>
    </row>
    <row r="2" spans="1:6" x14ac:dyDescent="0.25">
      <c r="A2" t="s">
        <v>1</v>
      </c>
      <c r="C2" t="s">
        <v>2</v>
      </c>
      <c r="D2">
        <v>6</v>
      </c>
      <c r="E2">
        <v>7.4</v>
      </c>
      <c r="F2" s="2">
        <v>23.3</v>
      </c>
    </row>
    <row r="3" spans="1:6" x14ac:dyDescent="0.25">
      <c r="A3" t="s">
        <v>15</v>
      </c>
      <c r="B3" t="s">
        <v>25</v>
      </c>
      <c r="C3" t="s">
        <v>3</v>
      </c>
      <c r="D3">
        <v>554</v>
      </c>
      <c r="E3">
        <v>188</v>
      </c>
      <c r="F3">
        <v>-66.099999999999994</v>
      </c>
    </row>
    <row r="4" spans="1:6" x14ac:dyDescent="0.25">
      <c r="A4" t="s">
        <v>16</v>
      </c>
      <c r="B4" t="s">
        <v>26</v>
      </c>
      <c r="C4" t="s">
        <v>4</v>
      </c>
      <c r="D4">
        <v>3462</v>
      </c>
      <c r="E4">
        <v>1090</v>
      </c>
      <c r="F4">
        <v>-68.5</v>
      </c>
    </row>
    <row r="5" spans="1:6" x14ac:dyDescent="0.25">
      <c r="A5" t="s">
        <v>17</v>
      </c>
      <c r="B5" t="s">
        <v>27</v>
      </c>
      <c r="C5" t="s">
        <v>5</v>
      </c>
      <c r="D5">
        <v>3042</v>
      </c>
      <c r="E5">
        <v>3396</v>
      </c>
      <c r="F5">
        <v>11.6</v>
      </c>
    </row>
    <row r="6" spans="1:6" x14ac:dyDescent="0.25">
      <c r="A6" t="s">
        <v>18</v>
      </c>
      <c r="B6" t="s">
        <v>27</v>
      </c>
      <c r="C6" t="s">
        <v>5</v>
      </c>
      <c r="D6">
        <v>632</v>
      </c>
      <c r="E6">
        <v>146</v>
      </c>
      <c r="F6">
        <v>-76.900000000000006</v>
      </c>
    </row>
    <row r="7" spans="1:6" x14ac:dyDescent="0.25">
      <c r="A7" t="s">
        <v>19</v>
      </c>
      <c r="B7" t="s">
        <v>27</v>
      </c>
      <c r="C7" t="s">
        <v>5</v>
      </c>
      <c r="D7">
        <v>2410</v>
      </c>
      <c r="E7">
        <v>3250</v>
      </c>
      <c r="F7">
        <v>34.9</v>
      </c>
    </row>
    <row r="8" spans="1:6" x14ac:dyDescent="0.25">
      <c r="A8" t="s">
        <v>20</v>
      </c>
      <c r="B8" t="s">
        <v>27</v>
      </c>
      <c r="C8" t="s">
        <v>6</v>
      </c>
      <c r="D8">
        <v>4800</v>
      </c>
      <c r="E8">
        <v>8800</v>
      </c>
      <c r="F8">
        <v>83.3</v>
      </c>
    </row>
    <row r="9" spans="1:6" x14ac:dyDescent="0.25">
      <c r="A9" t="s">
        <v>21</v>
      </c>
      <c r="B9" t="s">
        <v>27</v>
      </c>
      <c r="C9" t="s">
        <v>7</v>
      </c>
      <c r="D9">
        <v>299.91000000000003</v>
      </c>
      <c r="E9">
        <v>499.85</v>
      </c>
      <c r="F9">
        <v>66.7</v>
      </c>
    </row>
    <row r="10" spans="1:6" x14ac:dyDescent="0.25">
      <c r="A10" t="s">
        <v>22</v>
      </c>
      <c r="B10" t="s">
        <v>27</v>
      </c>
      <c r="C10" t="s">
        <v>8</v>
      </c>
      <c r="D10">
        <v>8.44</v>
      </c>
      <c r="E10">
        <v>34</v>
      </c>
      <c r="F10">
        <v>302.8</v>
      </c>
    </row>
    <row r="11" spans="1:6" x14ac:dyDescent="0.25">
      <c r="A11" t="s">
        <v>23</v>
      </c>
      <c r="B11" t="s">
        <v>27</v>
      </c>
      <c r="C11" t="s">
        <v>28</v>
      </c>
      <c r="D11">
        <v>101.8</v>
      </c>
      <c r="E11">
        <v>608.79999999999995</v>
      </c>
      <c r="F11">
        <v>498</v>
      </c>
    </row>
    <row r="12" spans="1:6" x14ac:dyDescent="0.25">
      <c r="A12" t="s">
        <v>24</v>
      </c>
      <c r="B12" t="s">
        <v>27</v>
      </c>
      <c r="C12" t="s">
        <v>9</v>
      </c>
      <c r="D12">
        <v>295</v>
      </c>
      <c r="E12">
        <v>608</v>
      </c>
      <c r="F12">
        <v>106.1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H17" sqref="H17"/>
    </sheetView>
  </sheetViews>
  <sheetFormatPr defaultRowHeight="15" x14ac:dyDescent="0.25"/>
  <cols>
    <col min="1" max="1" width="24.7109375" customWidth="1"/>
    <col min="2" max="2" width="12.140625" customWidth="1"/>
    <col min="3" max="4" width="11" customWidth="1"/>
    <col min="6" max="6" width="12.85546875" customWidth="1"/>
  </cols>
  <sheetData>
    <row r="1" spans="1:7" ht="45" x14ac:dyDescent="0.25">
      <c r="A1" s="1" t="s">
        <v>10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/>
    </row>
    <row r="2" spans="1:7" x14ac:dyDescent="0.25">
      <c r="A2" t="s">
        <v>16</v>
      </c>
      <c r="B2">
        <v>73.02</v>
      </c>
      <c r="C2">
        <v>73.58</v>
      </c>
      <c r="D2">
        <v>74.11</v>
      </c>
      <c r="E2">
        <v>74.11</v>
      </c>
      <c r="F2">
        <v>1.0900000000000001</v>
      </c>
    </row>
    <row r="3" spans="1:7" x14ac:dyDescent="0.25">
      <c r="A3" t="s">
        <v>15</v>
      </c>
      <c r="B3">
        <v>70.319999999999993</v>
      </c>
      <c r="C3">
        <v>71.28</v>
      </c>
      <c r="D3">
        <v>83.62</v>
      </c>
      <c r="E3">
        <v>83.62</v>
      </c>
      <c r="F3">
        <v>13.3</v>
      </c>
    </row>
    <row r="4" spans="1:7" x14ac:dyDescent="0.25">
      <c r="A4" t="s">
        <v>34</v>
      </c>
      <c r="B4">
        <v>5.35</v>
      </c>
      <c r="C4">
        <v>8.2899999999999991</v>
      </c>
      <c r="D4">
        <v>39.31</v>
      </c>
      <c r="E4">
        <v>39.31</v>
      </c>
      <c r="F4">
        <v>33.96</v>
      </c>
    </row>
    <row r="5" spans="1:7" x14ac:dyDescent="0.25">
      <c r="A5" t="s">
        <v>35</v>
      </c>
      <c r="B5">
        <v>55.76</v>
      </c>
      <c r="C5">
        <v>61.32</v>
      </c>
      <c r="D5">
        <v>72.489999999999995</v>
      </c>
      <c r="E5">
        <v>72.489999999999995</v>
      </c>
      <c r="F5">
        <v>16.73</v>
      </c>
    </row>
    <row r="6" spans="1:7" x14ac:dyDescent="0.25">
      <c r="A6" t="s">
        <v>17</v>
      </c>
      <c r="B6">
        <v>5.58</v>
      </c>
      <c r="C6">
        <v>8.5299999999999994</v>
      </c>
      <c r="D6">
        <v>39.46</v>
      </c>
      <c r="E6">
        <v>39.46</v>
      </c>
      <c r="F6">
        <v>33.880000000000003</v>
      </c>
    </row>
    <row r="7" spans="1:7" x14ac:dyDescent="0.25">
      <c r="A7" t="s">
        <v>21</v>
      </c>
      <c r="B7">
        <v>9.2100000000000009</v>
      </c>
      <c r="C7">
        <v>11.05</v>
      </c>
      <c r="D7">
        <v>20.74</v>
      </c>
      <c r="E7">
        <v>20.74</v>
      </c>
      <c r="F7">
        <v>11.53</v>
      </c>
    </row>
    <row r="8" spans="1:7" x14ac:dyDescent="0.25">
      <c r="A8" t="s">
        <v>24</v>
      </c>
      <c r="B8">
        <v>-1.82</v>
      </c>
      <c r="C8">
        <v>-2.2599999999999998</v>
      </c>
      <c r="D8">
        <v>-2.2200000000000002</v>
      </c>
      <c r="E8">
        <v>-2.2200000000000002</v>
      </c>
      <c r="F8">
        <f>D8-B8</f>
        <v>-0.40000000000000013</v>
      </c>
    </row>
    <row r="9" spans="1:7" x14ac:dyDescent="0.25">
      <c r="A9" t="s">
        <v>20</v>
      </c>
      <c r="B9">
        <v>9.09</v>
      </c>
      <c r="C9">
        <v>26.65</v>
      </c>
      <c r="D9">
        <v>31.97</v>
      </c>
      <c r="E9">
        <v>31.97</v>
      </c>
      <c r="F9">
        <v>22.88</v>
      </c>
    </row>
    <row r="10" spans="1:7" x14ac:dyDescent="0.25">
      <c r="A10" t="s">
        <v>22</v>
      </c>
      <c r="B10">
        <v>25.17</v>
      </c>
      <c r="C10">
        <v>56.2</v>
      </c>
      <c r="D10">
        <v>73.09</v>
      </c>
      <c r="E10">
        <v>73.09</v>
      </c>
      <c r="F10">
        <v>47.92</v>
      </c>
    </row>
    <row r="11" spans="1:7" x14ac:dyDescent="0.25">
      <c r="A11" t="s">
        <v>23</v>
      </c>
      <c r="B11">
        <v>12.15</v>
      </c>
      <c r="C11">
        <v>31.89</v>
      </c>
      <c r="D11">
        <v>49.51</v>
      </c>
      <c r="E11">
        <v>49.51</v>
      </c>
      <c r="F11">
        <v>37.36</v>
      </c>
    </row>
    <row r="12" spans="1:7" x14ac:dyDescent="0.25">
      <c r="A12" t="s">
        <v>36</v>
      </c>
      <c r="B12">
        <v>6.48</v>
      </c>
      <c r="C12">
        <v>12.46</v>
      </c>
      <c r="D12">
        <v>29.86</v>
      </c>
      <c r="E12">
        <v>29.86</v>
      </c>
      <c r="F12">
        <v>23.38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F9" sqref="F9"/>
    </sheetView>
  </sheetViews>
  <sheetFormatPr defaultRowHeight="15" x14ac:dyDescent="0.25"/>
  <cols>
    <col min="1" max="1" width="25.7109375" customWidth="1"/>
    <col min="2" max="2" width="10.7109375" customWidth="1"/>
    <col min="3" max="3" width="13" customWidth="1"/>
    <col min="4" max="4" width="11.85546875" customWidth="1"/>
    <col min="5" max="5" width="12.85546875" customWidth="1"/>
    <col min="6" max="6" width="13.7109375" customWidth="1"/>
  </cols>
  <sheetData>
    <row r="1" spans="1:6" ht="45" x14ac:dyDescent="0.25">
      <c r="A1" s="3" t="s">
        <v>10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4" t="s">
        <v>16</v>
      </c>
      <c r="B2" s="3">
        <v>72.05</v>
      </c>
      <c r="C2" s="3">
        <v>72.37</v>
      </c>
      <c r="D2" s="3">
        <v>76.180000000000007</v>
      </c>
      <c r="E2" s="3">
        <v>76.180000000000007</v>
      </c>
      <c r="F2" s="3">
        <v>4.13</v>
      </c>
    </row>
    <row r="3" spans="1:6" x14ac:dyDescent="0.25">
      <c r="A3" s="4" t="s">
        <v>15</v>
      </c>
      <c r="B3" s="3">
        <v>98.8</v>
      </c>
      <c r="C3" s="3">
        <v>98.17</v>
      </c>
      <c r="D3" s="3">
        <v>98.5</v>
      </c>
      <c r="E3" s="3">
        <v>98.5</v>
      </c>
      <c r="F3" s="3">
        <v>4.7</v>
      </c>
    </row>
    <row r="4" spans="1:6" x14ac:dyDescent="0.25">
      <c r="A4" s="4" t="s">
        <v>34</v>
      </c>
      <c r="B4" s="3">
        <v>2.5099999999999998</v>
      </c>
      <c r="C4" s="3">
        <v>45.27</v>
      </c>
      <c r="D4" s="3">
        <v>49.43</v>
      </c>
      <c r="E4" s="3">
        <v>49.43</v>
      </c>
      <c r="F4" s="3">
        <v>46.92</v>
      </c>
    </row>
    <row r="5" spans="1:6" x14ac:dyDescent="0.25">
      <c r="A5" s="4" t="s">
        <v>35</v>
      </c>
      <c r="B5" s="3">
        <v>75.41</v>
      </c>
      <c r="C5" s="3">
        <v>90.81</v>
      </c>
      <c r="D5" s="3">
        <v>92.6</v>
      </c>
      <c r="E5" s="3">
        <v>92.6</v>
      </c>
      <c r="F5" s="3">
        <v>17.190000000000001</v>
      </c>
    </row>
    <row r="6" spans="1:6" x14ac:dyDescent="0.25">
      <c r="A6" s="4" t="s">
        <v>17</v>
      </c>
      <c r="B6" s="3">
        <v>3.33</v>
      </c>
      <c r="C6" s="3">
        <v>45.78</v>
      </c>
      <c r="D6" s="3">
        <v>49.92</v>
      </c>
      <c r="E6" s="3">
        <v>49.92</v>
      </c>
      <c r="F6" s="3">
        <v>46.59</v>
      </c>
    </row>
    <row r="7" spans="1:6" x14ac:dyDescent="0.25">
      <c r="A7" s="4" t="s">
        <v>21</v>
      </c>
      <c r="B7" s="3">
        <v>54.89</v>
      </c>
      <c r="C7" s="3">
        <v>70.290000000000006</v>
      </c>
      <c r="D7" s="3">
        <v>75.150000000000006</v>
      </c>
      <c r="E7" s="3">
        <v>75.150000000000006</v>
      </c>
      <c r="F7" s="3">
        <v>20.260000000000002</v>
      </c>
    </row>
    <row r="8" spans="1:6" x14ac:dyDescent="0.25">
      <c r="A8" s="4" t="s">
        <v>24</v>
      </c>
      <c r="B8" s="3">
        <v>-0.46</v>
      </c>
      <c r="C8" s="3">
        <v>-1.56</v>
      </c>
      <c r="D8" s="3">
        <v>-2.86</v>
      </c>
      <c r="E8" s="3">
        <v>-2.86</v>
      </c>
      <c r="F8" s="3">
        <f>D8-B8</f>
        <v>-2.4</v>
      </c>
    </row>
    <row r="9" spans="1:6" x14ac:dyDescent="0.25">
      <c r="A9" s="4" t="s">
        <v>20</v>
      </c>
      <c r="B9" s="3">
        <v>89.95</v>
      </c>
      <c r="C9" s="3">
        <v>91.87</v>
      </c>
      <c r="D9" s="3">
        <v>97.89</v>
      </c>
      <c r="E9" s="3">
        <v>97.89</v>
      </c>
      <c r="F9" s="3">
        <v>7.94</v>
      </c>
    </row>
    <row r="10" spans="1:6" x14ac:dyDescent="0.25">
      <c r="A10" s="4" t="s">
        <v>22</v>
      </c>
      <c r="B10" s="3">
        <v>71.709999999999994</v>
      </c>
      <c r="C10" s="3">
        <v>81.400000000000006</v>
      </c>
      <c r="D10" s="3">
        <v>88.06</v>
      </c>
      <c r="E10" s="3">
        <v>88.06</v>
      </c>
      <c r="F10" s="3">
        <v>16.350000000000001</v>
      </c>
    </row>
    <row r="11" spans="1:6" x14ac:dyDescent="0.25">
      <c r="A11" s="4" t="s">
        <v>23</v>
      </c>
      <c r="B11" s="3">
        <v>24.21</v>
      </c>
      <c r="C11" s="3">
        <v>34.340000000000003</v>
      </c>
      <c r="D11" s="3">
        <v>41.13</v>
      </c>
      <c r="E11" s="3">
        <v>41.13</v>
      </c>
      <c r="F11" s="3">
        <v>16.920000000000002</v>
      </c>
    </row>
    <row r="12" spans="1:6" x14ac:dyDescent="0.25">
      <c r="A12" s="4" t="s">
        <v>36</v>
      </c>
      <c r="B12" s="3">
        <v>25.19</v>
      </c>
      <c r="C12" s="3">
        <v>46.51</v>
      </c>
      <c r="D12" s="3">
        <v>70</v>
      </c>
      <c r="E12" s="3">
        <v>70</v>
      </c>
      <c r="F12" s="3">
        <v>44.81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F9" sqref="F9"/>
    </sheetView>
  </sheetViews>
  <sheetFormatPr defaultRowHeight="15" x14ac:dyDescent="0.25"/>
  <cols>
    <col min="1" max="1" width="25.42578125" customWidth="1"/>
    <col min="2" max="2" width="11.42578125" customWidth="1"/>
    <col min="3" max="3" width="12.5703125" customWidth="1"/>
    <col min="4" max="4" width="10.85546875" customWidth="1"/>
    <col min="5" max="6" width="13.28515625" customWidth="1"/>
  </cols>
  <sheetData>
    <row r="1" spans="1:7" ht="45" x14ac:dyDescent="0.25">
      <c r="A1" t="s">
        <v>10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/>
    </row>
    <row r="2" spans="1:7" x14ac:dyDescent="0.25">
      <c r="A2" t="s">
        <v>16</v>
      </c>
      <c r="B2">
        <v>28.88</v>
      </c>
      <c r="C2">
        <v>42.76</v>
      </c>
      <c r="D2">
        <v>71.25</v>
      </c>
      <c r="E2">
        <v>71.25</v>
      </c>
      <c r="F2">
        <v>42.37</v>
      </c>
    </row>
    <row r="3" spans="1:7" x14ac:dyDescent="0.25">
      <c r="A3" t="s">
        <v>15</v>
      </c>
      <c r="B3">
        <v>32.65</v>
      </c>
      <c r="C3">
        <v>56.43</v>
      </c>
      <c r="D3">
        <v>74.5</v>
      </c>
      <c r="E3">
        <v>74.5</v>
      </c>
      <c r="F3">
        <v>41.85</v>
      </c>
    </row>
    <row r="4" spans="1:7" x14ac:dyDescent="0.25">
      <c r="A4" t="s">
        <v>34</v>
      </c>
      <c r="B4">
        <v>65.87</v>
      </c>
      <c r="C4">
        <v>70.2</v>
      </c>
      <c r="D4">
        <v>75.39</v>
      </c>
      <c r="E4">
        <v>75.39</v>
      </c>
      <c r="F4">
        <v>9.52</v>
      </c>
    </row>
    <row r="5" spans="1:7" x14ac:dyDescent="0.25">
      <c r="A5" t="s">
        <v>35</v>
      </c>
      <c r="B5">
        <v>81.97</v>
      </c>
      <c r="C5">
        <v>86.67</v>
      </c>
      <c r="D5">
        <v>92.72</v>
      </c>
      <c r="E5">
        <v>92.72</v>
      </c>
      <c r="F5">
        <v>10.75</v>
      </c>
    </row>
    <row r="6" spans="1:7" x14ac:dyDescent="0.25">
      <c r="A6" t="s">
        <v>17</v>
      </c>
      <c r="B6">
        <v>66.19</v>
      </c>
      <c r="C6">
        <v>70.52</v>
      </c>
      <c r="D6">
        <v>75.73</v>
      </c>
      <c r="E6">
        <v>75.73</v>
      </c>
      <c r="F6">
        <v>9.5399999999999991</v>
      </c>
    </row>
    <row r="7" spans="1:7" x14ac:dyDescent="0.25">
      <c r="A7" t="s">
        <v>21</v>
      </c>
      <c r="B7">
        <v>57.82</v>
      </c>
      <c r="C7">
        <v>61.47</v>
      </c>
      <c r="D7">
        <v>63.45</v>
      </c>
      <c r="E7">
        <v>63.45</v>
      </c>
      <c r="F7">
        <v>5.63</v>
      </c>
    </row>
    <row r="8" spans="1:7" x14ac:dyDescent="0.25">
      <c r="A8" t="s">
        <v>24</v>
      </c>
      <c r="B8">
        <v>-0.65</v>
      </c>
      <c r="C8">
        <v>-1.71</v>
      </c>
      <c r="D8">
        <v>-3.99</v>
      </c>
      <c r="E8">
        <v>-3.99</v>
      </c>
      <c r="F8">
        <f>D8-B8</f>
        <v>-3.3400000000000003</v>
      </c>
    </row>
    <row r="9" spans="1:7" x14ac:dyDescent="0.25">
      <c r="A9" t="s">
        <v>20</v>
      </c>
      <c r="B9">
        <v>22.35</v>
      </c>
      <c r="C9">
        <v>46.44</v>
      </c>
      <c r="D9">
        <v>72.48</v>
      </c>
      <c r="E9">
        <v>72.48</v>
      </c>
      <c r="F9">
        <v>50.13</v>
      </c>
    </row>
    <row r="10" spans="1:7" x14ac:dyDescent="0.25">
      <c r="A10" t="s">
        <v>22</v>
      </c>
      <c r="B10">
        <v>47.67</v>
      </c>
      <c r="C10">
        <v>73.37</v>
      </c>
      <c r="D10">
        <v>76.010000000000005</v>
      </c>
      <c r="E10">
        <v>76.010000000000005</v>
      </c>
      <c r="F10">
        <v>28.34</v>
      </c>
    </row>
    <row r="11" spans="1:7" x14ac:dyDescent="0.25">
      <c r="A11" t="s">
        <v>23</v>
      </c>
      <c r="B11">
        <v>28.14</v>
      </c>
      <c r="C11">
        <v>39.47</v>
      </c>
      <c r="D11">
        <v>67.87</v>
      </c>
      <c r="E11">
        <v>67.87</v>
      </c>
      <c r="F11">
        <v>39.729999999999997</v>
      </c>
    </row>
    <row r="12" spans="1:7" x14ac:dyDescent="0.25">
      <c r="A12" t="s">
        <v>36</v>
      </c>
      <c r="B12">
        <v>25.09</v>
      </c>
      <c r="C12">
        <v>36.9</v>
      </c>
      <c r="D12">
        <v>50.3</v>
      </c>
      <c r="E12">
        <v>50.3</v>
      </c>
      <c r="F12">
        <v>25.21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tabSelected="1" workbookViewId="0">
      <selection activeCell="F9" sqref="F9"/>
    </sheetView>
  </sheetViews>
  <sheetFormatPr defaultRowHeight="15" x14ac:dyDescent="0.25"/>
  <cols>
    <col min="1" max="1" width="25.28515625" customWidth="1"/>
    <col min="2" max="2" width="12" customWidth="1"/>
    <col min="3" max="3" width="11.42578125" customWidth="1"/>
    <col min="4" max="4" width="11.5703125" customWidth="1"/>
    <col min="5" max="5" width="12.7109375" customWidth="1"/>
    <col min="6" max="6" width="13.140625" customWidth="1"/>
  </cols>
  <sheetData>
    <row r="1" spans="1:6" ht="45" x14ac:dyDescent="0.25">
      <c r="A1" t="s">
        <v>10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6" x14ac:dyDescent="0.25">
      <c r="A2" t="s">
        <v>16</v>
      </c>
      <c r="B2">
        <v>34.85</v>
      </c>
      <c r="C2">
        <v>55.14</v>
      </c>
      <c r="D2">
        <v>78.88</v>
      </c>
      <c r="E2">
        <v>78.88</v>
      </c>
      <c r="F2">
        <v>44.03</v>
      </c>
    </row>
    <row r="3" spans="1:6" x14ac:dyDescent="0.25">
      <c r="A3" t="s">
        <v>15</v>
      </c>
      <c r="B3">
        <v>19.34</v>
      </c>
      <c r="C3">
        <v>44.57</v>
      </c>
      <c r="D3">
        <v>74.03</v>
      </c>
      <c r="E3">
        <v>74.03</v>
      </c>
      <c r="F3">
        <v>54.69</v>
      </c>
    </row>
    <row r="4" spans="1:6" x14ac:dyDescent="0.25">
      <c r="A4" t="s">
        <v>34</v>
      </c>
      <c r="B4">
        <v>41.17</v>
      </c>
      <c r="C4">
        <v>48.43</v>
      </c>
      <c r="D4">
        <v>52.99</v>
      </c>
      <c r="E4">
        <v>52.99</v>
      </c>
      <c r="F4">
        <v>11.82</v>
      </c>
    </row>
    <row r="5" spans="1:6" x14ac:dyDescent="0.25">
      <c r="A5" t="s">
        <v>35</v>
      </c>
      <c r="B5">
        <v>55.65</v>
      </c>
      <c r="C5">
        <v>73.42</v>
      </c>
      <c r="D5">
        <v>94.37</v>
      </c>
      <c r="E5">
        <v>94.37</v>
      </c>
      <c r="F5">
        <v>38.72</v>
      </c>
    </row>
    <row r="6" spans="1:6" x14ac:dyDescent="0.25">
      <c r="A6" t="s">
        <v>17</v>
      </c>
      <c r="B6">
        <v>42.01</v>
      </c>
      <c r="C6">
        <v>49.87</v>
      </c>
      <c r="D6">
        <v>55.34</v>
      </c>
      <c r="E6">
        <v>55.34</v>
      </c>
      <c r="F6">
        <v>13.33</v>
      </c>
    </row>
    <row r="7" spans="1:6" x14ac:dyDescent="0.25">
      <c r="A7" t="s">
        <v>21</v>
      </c>
      <c r="B7">
        <v>46.42</v>
      </c>
      <c r="C7">
        <v>66.319999999999993</v>
      </c>
      <c r="D7">
        <v>80.52</v>
      </c>
      <c r="E7">
        <v>80.52</v>
      </c>
      <c r="F7">
        <v>34.1</v>
      </c>
    </row>
    <row r="8" spans="1:6" x14ac:dyDescent="0.25">
      <c r="A8" t="s">
        <v>24</v>
      </c>
      <c r="B8">
        <v>-4.4400000000000004</v>
      </c>
      <c r="C8">
        <v>-4.17</v>
      </c>
      <c r="D8">
        <v>-3.36</v>
      </c>
      <c r="E8">
        <v>-3.36</v>
      </c>
      <c r="F8">
        <f>D8-B8</f>
        <v>1.0800000000000005</v>
      </c>
    </row>
    <row r="9" spans="1:6" x14ac:dyDescent="0.25">
      <c r="A9" t="s">
        <v>20</v>
      </c>
      <c r="B9">
        <v>88.02</v>
      </c>
      <c r="C9">
        <v>92.81</v>
      </c>
      <c r="D9">
        <v>96.61</v>
      </c>
      <c r="E9">
        <v>96.61</v>
      </c>
      <c r="F9">
        <v>8.59</v>
      </c>
    </row>
    <row r="10" spans="1:6" x14ac:dyDescent="0.25">
      <c r="A10" t="s">
        <v>22</v>
      </c>
      <c r="B10">
        <v>28.7</v>
      </c>
      <c r="C10">
        <v>63.59</v>
      </c>
      <c r="D10">
        <v>88.39</v>
      </c>
      <c r="E10">
        <v>88.39</v>
      </c>
      <c r="F10">
        <v>59.69</v>
      </c>
    </row>
    <row r="11" spans="1:6" x14ac:dyDescent="0.25">
      <c r="A11" t="s">
        <v>23</v>
      </c>
      <c r="B11">
        <v>34.9</v>
      </c>
      <c r="C11">
        <v>43.56</v>
      </c>
      <c r="D11">
        <v>69.81</v>
      </c>
      <c r="E11">
        <v>69.81</v>
      </c>
      <c r="F11">
        <v>34.909999999999997</v>
      </c>
    </row>
    <row r="12" spans="1:6" x14ac:dyDescent="0.25">
      <c r="A12" t="s">
        <v>36</v>
      </c>
      <c r="B12">
        <v>26.1</v>
      </c>
      <c r="C12">
        <v>47.29</v>
      </c>
      <c r="D12">
        <v>72.510000000000005</v>
      </c>
      <c r="E12">
        <v>72.510000000000005</v>
      </c>
      <c r="F12">
        <v>46.41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Raw_Effluent_Data</vt:lpstr>
      <vt:lpstr>Fenton_Textile</vt:lpstr>
      <vt:lpstr>Fenton_DyeIntermediate</vt:lpstr>
      <vt:lpstr>PhotoFenton_Textile</vt:lpstr>
      <vt:lpstr>PhotoFenton_DyeIntermediate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USER104</cp:lastModifiedBy>
  <dcterms:created xsi:type="dcterms:W3CDTF">2026-04-30T04:09:11Z</dcterms:created>
  <dcterms:modified xsi:type="dcterms:W3CDTF">2026-06-25T14:30:43Z</dcterms:modified>
</cp:coreProperties>
</file>
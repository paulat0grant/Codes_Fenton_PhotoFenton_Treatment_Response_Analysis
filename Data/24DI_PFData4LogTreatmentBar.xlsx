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Preliminary Analysis\PhotoFentonDye\"/>
    </mc:Choice>
  </mc:AlternateContent>
  <xr:revisionPtr revIDLastSave="0" documentId="13_ncr:1_{F4029A1D-05D7-42D4-A6FE-DDE014C528F0}" xr6:coauthVersionLast="47" xr6:coauthVersionMax="47" xr10:uidLastSave="{00000000-0000-0000-0000-000000000000}"/>
  <bookViews>
    <workbookView xWindow="0" yWindow="0" windowWidth="20490" windowHeight="10920" activeTab="1" xr2:uid="{10858624-738B-4601-837A-252DC2B331B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2" l="1"/>
  <c r="D1" i="2"/>
  <c r="C1" i="2"/>
  <c r="B1" i="2"/>
</calcChain>
</file>

<file path=xl/sharedStrings.xml><?xml version="1.0" encoding="utf-8"?>
<sst xmlns="http://schemas.openxmlformats.org/spreadsheetml/2006/main" count="16" uniqueCount="16">
  <si>
    <t>Parameter</t>
  </si>
  <si>
    <t>Turbidity (NTU)</t>
  </si>
  <si>
    <t>Colour (Pt. Co.)</t>
  </si>
  <si>
    <t>TS (mg/l)</t>
  </si>
  <si>
    <t>TSS (mg/l)</t>
  </si>
  <si>
    <t>TDS (mg/l)</t>
  </si>
  <si>
    <t>COD (mg/l)</t>
  </si>
  <si>
    <t>Chloride (mg/l)</t>
  </si>
  <si>
    <t>Nitrate (mg/l)</t>
  </si>
  <si>
    <t>Sulphate (mg/l)</t>
  </si>
  <si>
    <t xml:space="preserve">Ratio (1:10) </t>
  </si>
  <si>
    <t xml:space="preserve">Ratio (1:20) </t>
  </si>
  <si>
    <t xml:space="preserve">Ratio (1:30) </t>
  </si>
  <si>
    <t>Untreated</t>
  </si>
  <si>
    <t>Amm. N (mg/l)</t>
  </si>
  <si>
    <t>aSOR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</si>
</sst>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172C-351E-4275-9CA3-0C217B4B4169}">
  <dimension ref="A1:E11"/>
  <sheetViews>
    <sheetView workbookViewId="0">
      <selection activeCell="A13" sqref="A13:E13"/>
    </sheetView>
  </sheetViews>
  <sheetFormatPr defaultRowHeight="15" x14ac:dyDescent="0.25"/>
  <cols>
    <col min="1" max="1" width="16.85546875" customWidth="1"/>
  </cols>
  <sheetData>
    <row r="1" spans="1:5" ht="30" x14ac:dyDescent="0.25">
      <c r="A1" s="1" t="s">
        <v>0</v>
      </c>
      <c r="B1" s="1" t="s">
        <v>13</v>
      </c>
      <c r="C1" t="s">
        <v>10</v>
      </c>
      <c r="D1" t="s">
        <v>11</v>
      </c>
      <c r="E1" t="s">
        <v>12</v>
      </c>
    </row>
    <row r="2" spans="1:5" x14ac:dyDescent="0.25">
      <c r="A2" t="s">
        <v>1</v>
      </c>
      <c r="B2">
        <v>188</v>
      </c>
      <c r="C2">
        <v>151.64079999999998</v>
      </c>
      <c r="D2">
        <v>104.2084</v>
      </c>
      <c r="E2">
        <v>48.823600000000006</v>
      </c>
    </row>
    <row r="3" spans="1:5" x14ac:dyDescent="0.25">
      <c r="A3" t="s">
        <v>2</v>
      </c>
      <c r="B3">
        <v>1090</v>
      </c>
      <c r="C3">
        <v>710.13499999999999</v>
      </c>
      <c r="D3">
        <v>488.97399999999999</v>
      </c>
      <c r="E3">
        <v>230.20800000000006</v>
      </c>
    </row>
    <row r="4" spans="1:5" x14ac:dyDescent="0.25">
      <c r="A4" t="s">
        <v>3</v>
      </c>
      <c r="B4">
        <v>3396</v>
      </c>
      <c r="C4">
        <v>1969.3404000000003</v>
      </c>
      <c r="D4">
        <v>1702.4148000000002</v>
      </c>
      <c r="E4">
        <v>1516.6536000000001</v>
      </c>
    </row>
    <row r="5" spans="1:5" x14ac:dyDescent="0.25">
      <c r="A5" t="s">
        <v>4</v>
      </c>
      <c r="B5">
        <v>146</v>
      </c>
      <c r="C5">
        <v>64.751000000000005</v>
      </c>
      <c r="D5">
        <v>38.806800000000003</v>
      </c>
      <c r="E5">
        <v>8.2197999999999869</v>
      </c>
    </row>
    <row r="6" spans="1:5" x14ac:dyDescent="0.25">
      <c r="A6" t="s">
        <v>5</v>
      </c>
      <c r="B6">
        <v>3250</v>
      </c>
      <c r="C6">
        <v>1911.9750000000001</v>
      </c>
      <c r="D6">
        <v>1676.0250000000001</v>
      </c>
      <c r="E6">
        <v>1527.8249999999998</v>
      </c>
    </row>
    <row r="7" spans="1:5" x14ac:dyDescent="0.25">
      <c r="A7" t="s">
        <v>6</v>
      </c>
      <c r="B7">
        <v>8800</v>
      </c>
      <c r="C7">
        <v>1054.2400000000002</v>
      </c>
      <c r="D7">
        <v>632.71999999999969</v>
      </c>
      <c r="E7">
        <v>298.32000000000039</v>
      </c>
    </row>
    <row r="8" spans="1:5" x14ac:dyDescent="0.25">
      <c r="A8" t="s">
        <v>7</v>
      </c>
      <c r="B8">
        <v>499.85</v>
      </c>
      <c r="C8">
        <v>267.81963000000002</v>
      </c>
      <c r="D8">
        <v>168.34948000000006</v>
      </c>
      <c r="E8">
        <v>97.370780000000053</v>
      </c>
    </row>
    <row r="9" spans="1:5" x14ac:dyDescent="0.25">
      <c r="A9" t="s">
        <v>14</v>
      </c>
      <c r="B9">
        <v>34</v>
      </c>
      <c r="C9">
        <v>24.242000000000004</v>
      </c>
      <c r="D9">
        <v>12.379399999999999</v>
      </c>
      <c r="E9">
        <v>3.9473999999999991</v>
      </c>
    </row>
    <row r="10" spans="1:5" x14ac:dyDescent="0.25">
      <c r="A10" t="s">
        <v>8</v>
      </c>
      <c r="B10">
        <v>608.79999999999995</v>
      </c>
      <c r="C10">
        <v>396.3288</v>
      </c>
      <c r="D10">
        <v>343.60672</v>
      </c>
      <c r="E10">
        <v>183.79671999999997</v>
      </c>
    </row>
    <row r="11" spans="1:5" x14ac:dyDescent="0.25">
      <c r="A11" t="s">
        <v>9</v>
      </c>
      <c r="B11">
        <v>608</v>
      </c>
      <c r="C11">
        <v>634.99519999999995</v>
      </c>
      <c r="D11">
        <v>633.35360000000003</v>
      </c>
      <c r="E11">
        <v>628.42880000000002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8B18-BEBE-4D9D-BD6B-B30F4CECE3D3}">
  <dimension ref="A1:E1"/>
  <sheetViews>
    <sheetView tabSelected="1" workbookViewId="0">
      <selection sqref="A1:E1"/>
    </sheetView>
  </sheetViews>
  <sheetFormatPr defaultRowHeight="15" x14ac:dyDescent="0.25"/>
  <sheetData>
    <row r="1" spans="1:5" x14ac:dyDescent="0.25">
      <c r="A1" t="s">
        <v>15</v>
      </c>
      <c r="B1">
        <f>(Sheet1!B8+Sheet1!B9+Sheet1!B10)/Sheet1!B7</f>
        <v>0.12984659090909093</v>
      </c>
      <c r="C1">
        <f>(Sheet1!C8+Sheet1!C9+Sheet1!C10)/Sheet1!C7</f>
        <v>0.65297316550311113</v>
      </c>
      <c r="D1">
        <f>(Sheet1!D8+Sheet1!D9+Sheet1!D10)/Sheet1!D7</f>
        <v>0.82870084713617453</v>
      </c>
      <c r="E1">
        <f>(Sheet1!E8+Sheet1!E9+Sheet1!E10)/Sheet1!E7</f>
        <v>0.95573511665325706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2026-07-01T18:36:18Z</dcterms:created>
  <dcterms:modified xsi:type="dcterms:W3CDTF">2026-07-21T21:02:27Z</dcterms:modified>
</cp:coreProperties>
</file>